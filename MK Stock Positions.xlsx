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ind.parmar/Desktop/"/>
    </mc:Choice>
  </mc:AlternateContent>
  <xr:revisionPtr revIDLastSave="0" documentId="13_ncr:1_{3F56E57F-5C8A-B845-83E0-BF142A436DFD}" xr6:coauthVersionLast="47" xr6:coauthVersionMax="47" xr10:uidLastSave="{00000000-0000-0000-0000-000000000000}"/>
  <bookViews>
    <workbookView xWindow="0" yWindow="-28300" windowWidth="51200" windowHeight="28300" xr2:uid="{150901D6-A587-D64E-9303-878B9B21F7BB}"/>
  </bookViews>
  <sheets>
    <sheet name="Kunall" sheetId="3" r:id="rId1"/>
    <sheet name="Milind" sheetId="1" r:id="rId2"/>
  </sheets>
  <definedNames>
    <definedName name="_xlnm._FilterDatabase" localSheetId="1" hidden="1">Milind!$A$1:$F$13</definedName>
    <definedName name="_xlnm._FilterDatabase" localSheetId="0" hidden="1">Kunall!$A$1:$F$13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3" i="1"/>
  <c r="E4" i="1"/>
  <c r="E5" i="1"/>
  <c r="E6" i="1"/>
  <c r="E7" i="1"/>
  <c r="E8" i="1"/>
  <c r="E9" i="1"/>
  <c r="E10" i="1"/>
  <c r="E11" i="1"/>
  <c r="E12" i="1"/>
  <c r="E13" i="1"/>
  <c r="E2" i="1"/>
  <c r="F15" i="1"/>
  <c r="D15" i="1"/>
  <c r="E19" i="3"/>
  <c r="F19" i="3"/>
  <c r="D19" i="3"/>
  <c r="D3" i="3"/>
  <c r="E3" i="3"/>
  <c r="D4" i="3"/>
  <c r="E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2" i="3"/>
  <c r="E2" i="3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<sst xmlns="http://schemas.openxmlformats.org/spreadsheetml/2006/main" count="42" uniqueCount="29">
  <si>
    <t>Stock name</t>
  </si>
  <si>
    <t>GEV</t>
  </si>
  <si>
    <t>GOOG</t>
  </si>
  <si>
    <t>NVDA</t>
  </si>
  <si>
    <t>QQQ</t>
  </si>
  <si>
    <t>AMZN</t>
  </si>
  <si>
    <t>Average price</t>
  </si>
  <si>
    <t>Number of stocks</t>
  </si>
  <si>
    <t>SPY</t>
  </si>
  <si>
    <t>META</t>
  </si>
  <si>
    <t>GLD</t>
  </si>
  <si>
    <t>SLV</t>
  </si>
  <si>
    <t>MSFT</t>
  </si>
  <si>
    <t>BTC</t>
  </si>
  <si>
    <t>Total invested</t>
  </si>
  <si>
    <t>% Gain</t>
  </si>
  <si>
    <t>Current Value</t>
  </si>
  <si>
    <t>QCOM</t>
  </si>
  <si>
    <t>VNQI</t>
  </si>
  <si>
    <t>QQQM</t>
  </si>
  <si>
    <t>IVV</t>
  </si>
  <si>
    <t>TMC</t>
  </si>
  <si>
    <t>SCHD</t>
  </si>
  <si>
    <t>AAPL</t>
  </si>
  <si>
    <t>UMAC</t>
  </si>
  <si>
    <t>USO</t>
  </si>
  <si>
    <t>GOOGL</t>
  </si>
  <si>
    <t>TERN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</si>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</sst>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43" fontId="0" fillId="0" borderId="0" xfId="1" applyFont="1"/>
    <xf numFmtId="0" fontId="2" fillId="2" borderId="0" xfId="0" applyFont="1" applyFill="1" applyAlignment="1">
      <alignment horizontal="center" vertical="center"/>
    </xf>
    <xf numFmtId="10" fontId="0" fillId="0" borderId="0" xfId="2" applyNumberFormat="1" applyFont="1"/>
    <xf numFmtId="4" fontId="0" fillId="0" borderId="0" xfId="1" applyNumberFormat="1" applyFont="1"/>
    <xf numFmtId="4" fontId="0" fillId="0" borderId="0" xfId="0" applyNumberFormat="1"/>
    <xf numFmtId="2" fontId="0" fillId="0" borderId="0" xfId="0" applyNumberFormat="1"/>
    <xf numFmtId="2" fontId="0" fillId="0" borderId="0" xfId="1" applyNumberFormat="1" applyFont="1"/>
    <xf numFmtId="0" fontId="3" fillId="0" borderId="0" xfId="0" applyFont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241B-F308-FC49-A2A3-6F5C94928EB6}">
  <dimension ref="A1:F19"/>
  <sheetViews>
    <sheetView tabSelected="1" zoomScale="296" workbookViewId="0">
      <selection activeCell="C26" sqref="C26"/>
    </sheetView>
  </sheetViews>
  <sheetFormatPr defaultColWidth="10.8515625" defaultRowHeight="16.5" x14ac:dyDescent="0.25"/>
  <cols>
    <col min="1" max="1" width="12.82421875" bestFit="1" customWidth="1"/>
    <col min="2" max="2" width="14.30078125" bestFit="1" customWidth="1"/>
    <col min="3" max="3" width="17.5078125" bestFit="1" customWidth="1"/>
    <col min="4" max="4" width="14.671875" bestFit="1" customWidth="1"/>
    <col min="5" max="5" width="8.75390625" bestFit="1" customWidth="1"/>
    <col min="6" max="6" width="14.42578125" bestFit="1" customWidth="1"/>
  </cols>
  <sheetData>
    <row r="1" spans="1:6" x14ac:dyDescent="0.25">
      <c r="A1" s="2" t="s">
        <v>0</v>
      </c>
      <c r="B1" s="2" t="s">
        <v>6</v>
      </c>
      <c r="C1" s="2" t="s">
        <v>7</v>
      </c>
      <c r="D1" s="2" t="s">
        <v>14</v>
      </c>
      <c r="E1" s="2" t="s">
        <v>15</v>
      </c>
      <c r="F1" s="2" t="s">
        <v>16</v>
      </c>
    </row>
    <row r="2" spans="1:6" x14ac:dyDescent="0.25">
      <c r="A2" t="s">
        <v>12</v>
      </c>
      <c r="B2" s="6">
        <v>511.64</v>
      </c>
      <c r="C2" s="6">
        <v>2</v>
      </c>
      <c r="D2" s="1">
        <f>C2*B2</f>
        <v>1023.28</v>
      </c>
      <c r="E2" s="3">
        <f>(F2-D2)/D2</f>
        <v>-0.22525603940270503</v>
      </c>
      <c r="F2" s="4">
        <v>792.78</v>
      </c>
    </row>
    <row r="3" spans="1:6" x14ac:dyDescent="0.25">
      <c r="A3" t="s">
        <v>17</v>
      </c>
      <c r="B3" s="6">
        <v>153.81</v>
      </c>
      <c r="C3" s="6">
        <v>5</v>
      </c>
      <c r="D3" s="1">
        <f t="shared" ref="D3:D17" si="0">C3*B3</f>
        <v>769.05</v>
      </c>
      <c r="E3" s="3">
        <f t="shared" ref="E3:E19" si="1">(F3-D3)/D3</f>
        <v>-0.16494376178401915</v>
      </c>
      <c r="F3" s="4">
        <v>642.20000000000005</v>
      </c>
    </row>
    <row r="4" spans="1:6" x14ac:dyDescent="0.25">
      <c r="A4" t="s">
        <v>18</v>
      </c>
      <c r="B4" s="6">
        <v>46.86</v>
      </c>
      <c r="C4" s="6">
        <v>20</v>
      </c>
      <c r="D4" s="1">
        <f t="shared" si="0"/>
        <v>937.2</v>
      </c>
      <c r="E4" s="3">
        <f t="shared" si="1"/>
        <v>-3.4357661118224546E-2</v>
      </c>
      <c r="F4" s="4">
        <v>905</v>
      </c>
    </row>
    <row r="5" spans="1:6" x14ac:dyDescent="0.25">
      <c r="A5" t="s">
        <v>19</v>
      </c>
      <c r="B5" s="6">
        <v>250.35</v>
      </c>
      <c r="C5" s="6">
        <v>3</v>
      </c>
      <c r="D5" s="1">
        <f t="shared" si="0"/>
        <v>751.05</v>
      </c>
      <c r="E5" s="3">
        <f t="shared" si="1"/>
        <v>-1.9652486518873566E-2</v>
      </c>
      <c r="F5" s="4">
        <v>736.29</v>
      </c>
    </row>
    <row r="6" spans="1:6" x14ac:dyDescent="0.25">
      <c r="A6" t="s">
        <v>20</v>
      </c>
      <c r="B6" s="6">
        <v>671.16</v>
      </c>
      <c r="C6" s="6">
        <v>3</v>
      </c>
      <c r="D6" s="1">
        <f t="shared" si="0"/>
        <v>2013.48</v>
      </c>
      <c r="E6" s="3">
        <f t="shared" si="1"/>
        <v>-5.6022408963585296E-3</v>
      </c>
      <c r="F6" s="4">
        <v>2002.2</v>
      </c>
    </row>
    <row r="7" spans="1:6" x14ac:dyDescent="0.25">
      <c r="A7" t="s">
        <v>3</v>
      </c>
      <c r="B7" s="6">
        <v>177.5</v>
      </c>
      <c r="C7" s="6">
        <v>2</v>
      </c>
      <c r="D7" s="1">
        <f t="shared" si="0"/>
        <v>355</v>
      </c>
      <c r="E7" s="3">
        <f t="shared" si="1"/>
        <v>2.4957746478873277E-2</v>
      </c>
      <c r="F7" s="4">
        <v>363.86</v>
      </c>
    </row>
    <row r="8" spans="1:6" x14ac:dyDescent="0.25">
      <c r="A8" t="s">
        <v>21</v>
      </c>
      <c r="B8" s="6">
        <v>5.85</v>
      </c>
      <c r="C8" s="6">
        <v>9.74</v>
      </c>
      <c r="D8" s="1">
        <f t="shared" si="0"/>
        <v>56.978999999999999</v>
      </c>
      <c r="E8" s="3">
        <f t="shared" si="1"/>
        <v>2.546552238544026E-2</v>
      </c>
      <c r="F8" s="4">
        <v>58.43</v>
      </c>
    </row>
    <row r="9" spans="1:6" x14ac:dyDescent="0.25">
      <c r="A9" t="s">
        <v>5</v>
      </c>
      <c r="B9" s="6">
        <v>192.03</v>
      </c>
      <c r="C9" s="6">
        <v>7</v>
      </c>
      <c r="D9" s="1">
        <f t="shared" si="0"/>
        <v>1344.21</v>
      </c>
      <c r="E9" s="3">
        <f t="shared" si="1"/>
        <v>8.2591261782013217E-2</v>
      </c>
      <c r="F9" s="4">
        <v>1455.23</v>
      </c>
    </row>
    <row r="10" spans="1:6" x14ac:dyDescent="0.25">
      <c r="A10" t="s">
        <v>22</v>
      </c>
      <c r="B10" s="6">
        <v>26.55</v>
      </c>
      <c r="C10" s="6">
        <v>28</v>
      </c>
      <c r="D10" s="1">
        <f t="shared" si="0"/>
        <v>743.4</v>
      </c>
      <c r="E10" s="3">
        <f t="shared" si="1"/>
        <v>0.16195856873822972</v>
      </c>
      <c r="F10" s="4">
        <v>863.8</v>
      </c>
    </row>
    <row r="11" spans="1:6" x14ac:dyDescent="0.25">
      <c r="A11" t="s">
        <v>23</v>
      </c>
      <c r="B11" s="6">
        <v>209.42</v>
      </c>
      <c r="C11" s="6">
        <v>9</v>
      </c>
      <c r="D11" s="1">
        <f t="shared" si="0"/>
        <v>1884.78</v>
      </c>
      <c r="E11" s="3">
        <f t="shared" si="1"/>
        <v>0.19830961703753233</v>
      </c>
      <c r="F11" s="4">
        <v>2258.5500000000002</v>
      </c>
    </row>
    <row r="12" spans="1:6" x14ac:dyDescent="0.25">
      <c r="A12" t="s">
        <v>10</v>
      </c>
      <c r="B12" s="6">
        <v>368.65</v>
      </c>
      <c r="C12" s="6">
        <v>5</v>
      </c>
      <c r="D12" s="1">
        <f t="shared" si="0"/>
        <v>1843.25</v>
      </c>
      <c r="E12" s="3">
        <f t="shared" si="1"/>
        <v>0.24085175640851747</v>
      </c>
      <c r="F12" s="4">
        <v>2287.1999999999998</v>
      </c>
    </row>
    <row r="13" spans="1:6" x14ac:dyDescent="0.25">
      <c r="A13" t="s">
        <v>11</v>
      </c>
      <c r="B13" s="7">
        <v>45.02</v>
      </c>
      <c r="C13" s="6">
        <v>34</v>
      </c>
      <c r="D13" s="1">
        <f t="shared" si="0"/>
        <v>1530.68</v>
      </c>
      <c r="E13" s="3">
        <f t="shared" si="1"/>
        <v>0.55442025766326086</v>
      </c>
      <c r="F13" s="4">
        <v>2379.3200000000002</v>
      </c>
    </row>
    <row r="14" spans="1:6" x14ac:dyDescent="0.25">
      <c r="A14" t="s">
        <v>24</v>
      </c>
      <c r="B14" s="6">
        <v>13</v>
      </c>
      <c r="C14" s="6">
        <v>50</v>
      </c>
      <c r="D14" s="1">
        <f t="shared" si="0"/>
        <v>650</v>
      </c>
      <c r="E14" s="3">
        <f t="shared" si="1"/>
        <v>0.58384615384615379</v>
      </c>
      <c r="F14" s="5">
        <v>1029.5</v>
      </c>
    </row>
    <row r="15" spans="1:6" x14ac:dyDescent="0.25">
      <c r="A15" t="s">
        <v>25</v>
      </c>
      <c r="B15" s="6">
        <v>69.959999999999994</v>
      </c>
      <c r="C15" s="6">
        <v>7</v>
      </c>
      <c r="D15" s="1">
        <f t="shared" si="0"/>
        <v>489.71999999999997</v>
      </c>
      <c r="E15" s="3">
        <f t="shared" si="1"/>
        <v>0.72955974842767302</v>
      </c>
      <c r="F15" s="5">
        <v>847</v>
      </c>
    </row>
    <row r="16" spans="1:6" x14ac:dyDescent="0.25">
      <c r="A16" t="s">
        <v>26</v>
      </c>
      <c r="B16" s="6">
        <v>166.99</v>
      </c>
      <c r="C16" s="6">
        <v>12</v>
      </c>
      <c r="D16" s="1">
        <f t="shared" si="0"/>
        <v>2003.88</v>
      </c>
      <c r="E16" s="3">
        <f t="shared" si="1"/>
        <v>0.8090903646924964</v>
      </c>
      <c r="F16" s="5">
        <v>3625.2</v>
      </c>
    </row>
    <row r="17" spans="1:6" x14ac:dyDescent="0.25">
      <c r="A17" t="s">
        <v>27</v>
      </c>
      <c r="B17">
        <v>17.579999999999998</v>
      </c>
      <c r="C17" s="6">
        <v>6</v>
      </c>
      <c r="D17" s="1">
        <f t="shared" si="0"/>
        <v>105.47999999999999</v>
      </c>
      <c r="E17" s="3">
        <f t="shared" si="1"/>
        <v>1.7019340159271903</v>
      </c>
      <c r="F17" s="5">
        <v>285</v>
      </c>
    </row>
    <row r="19" spans="1:6" x14ac:dyDescent="0.25">
      <c r="A19" s="8" t="s">
        <v>28</v>
      </c>
      <c r="D19" s="9">
        <f>SUM(D2:D17)</f>
        <v>16501.438999999998</v>
      </c>
      <c r="E19" s="3">
        <f t="shared" si="1"/>
        <v>0.24422845789388448</v>
      </c>
      <c r="F19" s="5">
        <f>SUM(F2:F17)</f>
        <v>20531.560000000001</v>
      </c>
    </row>
  </sheetData>
  <autoFilter ref="A1:F13" xr:uid="{DA91AD5C-505A-004B-88E1-1706899C025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AD5C-505A-004B-88E1-1706899C0252}">
  <dimension ref="A1:F15"/>
  <sheetViews>
    <sheetView zoomScale="296" workbookViewId="0">
      <selection activeCell="E20" sqref="E20"/>
    </sheetView>
  </sheetViews>
  <sheetFormatPr defaultColWidth="10.8515625" defaultRowHeight="16.5" x14ac:dyDescent="0.25"/>
  <cols>
    <col min="2" max="2" width="14.796875" bestFit="1" customWidth="1"/>
    <col min="3" max="3" width="15.04296875" bestFit="1" customWidth="1"/>
    <col min="4" max="4" width="14.55078125" bestFit="1" customWidth="1"/>
    <col min="6" max="6" width="17.5078125" bestFit="1" customWidth="1"/>
  </cols>
  <sheetData>
    <row r="1" spans="1:6" x14ac:dyDescent="0.25">
      <c r="A1" s="2" t="s">
        <v>0</v>
      </c>
      <c r="B1" s="2" t="s">
        <v>6</v>
      </c>
      <c r="C1" s="2" t="s">
        <v>7</v>
      </c>
      <c r="D1" s="2" t="s">
        <v>14</v>
      </c>
      <c r="E1" s="2" t="s">
        <v>15</v>
      </c>
      <c r="F1" s="2" t="s">
        <v>16</v>
      </c>
    </row>
    <row r="2" spans="1:6" x14ac:dyDescent="0.25">
      <c r="A2" t="s">
        <v>1</v>
      </c>
      <c r="B2">
        <v>370.17</v>
      </c>
      <c r="C2">
        <v>15</v>
      </c>
      <c r="D2" s="1">
        <f>C2*B2</f>
        <v>5552.55</v>
      </c>
      <c r="E2" s="3">
        <f>(F2-D2)/D2</f>
        <v>1.1826998406137719</v>
      </c>
      <c r="F2" s="1">
        <v>12119.55</v>
      </c>
    </row>
    <row r="3" spans="1:6" x14ac:dyDescent="0.25">
      <c r="A3" t="s">
        <v>2</v>
      </c>
      <c r="B3">
        <v>195.45</v>
      </c>
      <c r="C3">
        <v>15</v>
      </c>
      <c r="D3" s="1">
        <f t="shared" ref="D3:D13" si="0">C3*B3</f>
        <v>2931.75</v>
      </c>
      <c r="E3" s="3">
        <f t="shared" ref="E3:E15" si="1">(F3-D3)/D3</f>
        <v>0.54075211051419814</v>
      </c>
      <c r="F3" s="1">
        <v>4517.1000000000004</v>
      </c>
    </row>
    <row r="4" spans="1:6" x14ac:dyDescent="0.25">
      <c r="A4" t="s">
        <v>3</v>
      </c>
      <c r="B4">
        <v>118.75</v>
      </c>
      <c r="C4">
        <v>46</v>
      </c>
      <c r="D4" s="1">
        <f t="shared" si="0"/>
        <v>5462.5</v>
      </c>
      <c r="E4" s="3">
        <f t="shared" si="1"/>
        <v>0.53010526315789486</v>
      </c>
      <c r="F4" s="1">
        <v>8358.2000000000007</v>
      </c>
    </row>
    <row r="5" spans="1:6" x14ac:dyDescent="0.25">
      <c r="A5" t="s">
        <v>1</v>
      </c>
      <c r="B5">
        <v>198.71</v>
      </c>
      <c r="C5">
        <v>14</v>
      </c>
      <c r="D5" s="1">
        <f t="shared" si="0"/>
        <v>2781.94</v>
      </c>
      <c r="E5" s="3">
        <f t="shared" si="1"/>
        <v>0.51405134546395681</v>
      </c>
      <c r="F5" s="1">
        <v>4212</v>
      </c>
    </row>
    <row r="6" spans="1:6" x14ac:dyDescent="0.25">
      <c r="A6" t="s">
        <v>4</v>
      </c>
      <c r="B6">
        <v>431.17</v>
      </c>
      <c r="C6">
        <v>29</v>
      </c>
      <c r="D6" s="1">
        <f t="shared" si="0"/>
        <v>12503.93</v>
      </c>
      <c r="E6" s="3">
        <f t="shared" si="1"/>
        <v>0.38293480529721446</v>
      </c>
      <c r="F6" s="1">
        <v>17292.12</v>
      </c>
    </row>
    <row r="7" spans="1:6" x14ac:dyDescent="0.25">
      <c r="A7" t="s">
        <v>5</v>
      </c>
      <c r="B7">
        <v>154.79</v>
      </c>
      <c r="C7">
        <v>37</v>
      </c>
      <c r="D7" s="1">
        <f t="shared" si="0"/>
        <v>5727.23</v>
      </c>
      <c r="E7" s="3">
        <f t="shared" si="1"/>
        <v>0.34294938390810231</v>
      </c>
      <c r="F7" s="1">
        <v>7691.38</v>
      </c>
    </row>
    <row r="8" spans="1:6" x14ac:dyDescent="0.25">
      <c r="A8" t="s">
        <v>8</v>
      </c>
      <c r="B8">
        <v>503.13</v>
      </c>
      <c r="C8">
        <v>27</v>
      </c>
      <c r="D8" s="1">
        <f t="shared" si="0"/>
        <v>13584.51</v>
      </c>
      <c r="E8" s="3">
        <f t="shared" si="1"/>
        <v>0.32061296285254315</v>
      </c>
      <c r="F8" s="1">
        <v>17939.88</v>
      </c>
    </row>
    <row r="9" spans="1:6" x14ac:dyDescent="0.25">
      <c r="A9" t="s">
        <v>9</v>
      </c>
      <c r="B9">
        <v>484.11</v>
      </c>
      <c r="C9">
        <v>15</v>
      </c>
      <c r="D9" s="1">
        <f t="shared" si="0"/>
        <v>7261.6500000000005</v>
      </c>
      <c r="E9" s="3">
        <f t="shared" si="1"/>
        <v>0.3059015513003242</v>
      </c>
      <c r="F9" s="1">
        <v>9483</v>
      </c>
    </row>
    <row r="10" spans="1:6" x14ac:dyDescent="0.25">
      <c r="A10" t="s">
        <v>10</v>
      </c>
      <c r="B10">
        <v>400.63</v>
      </c>
      <c r="C10">
        <v>5</v>
      </c>
      <c r="D10" s="1">
        <f t="shared" si="0"/>
        <v>2003.15</v>
      </c>
      <c r="E10" s="3">
        <f t="shared" si="1"/>
        <v>0.1425105458902228</v>
      </c>
      <c r="F10" s="1">
        <v>2288.62</v>
      </c>
    </row>
    <row r="11" spans="1:6" x14ac:dyDescent="0.25">
      <c r="A11" t="s">
        <v>12</v>
      </c>
      <c r="B11">
        <v>359.28</v>
      </c>
      <c r="C11">
        <v>15</v>
      </c>
      <c r="D11" s="1">
        <f t="shared" si="0"/>
        <v>5389.2</v>
      </c>
      <c r="E11" s="3">
        <f t="shared" si="1"/>
        <v>0.11223929340161808</v>
      </c>
      <c r="F11" s="1">
        <v>5994.08</v>
      </c>
    </row>
    <row r="12" spans="1:6" x14ac:dyDescent="0.25">
      <c r="A12" t="s">
        <v>11</v>
      </c>
      <c r="B12">
        <v>65.27</v>
      </c>
      <c r="C12">
        <v>22</v>
      </c>
      <c r="D12" s="1">
        <f t="shared" si="0"/>
        <v>1435.9399999999998</v>
      </c>
      <c r="E12" s="3">
        <f t="shared" si="1"/>
        <v>8.778918339206386E-2</v>
      </c>
      <c r="F12" s="1">
        <v>1562</v>
      </c>
    </row>
    <row r="13" spans="1:6" x14ac:dyDescent="0.25">
      <c r="A13" t="s">
        <v>13</v>
      </c>
      <c r="B13" s="1">
        <v>79992.850000000006</v>
      </c>
      <c r="C13">
        <v>1.9E-2</v>
      </c>
      <c r="D13" s="1">
        <f t="shared" si="0"/>
        <v>1519.8641500000001</v>
      </c>
      <c r="E13" s="3">
        <f t="shared" si="1"/>
        <v>-0.10761103220968805</v>
      </c>
      <c r="F13" s="1">
        <v>1356.31</v>
      </c>
    </row>
    <row r="15" spans="1:6" x14ac:dyDescent="0.25">
      <c r="A15" s="8" t="s">
        <v>28</v>
      </c>
      <c r="D15" s="9">
        <f>SUM(D2:D13)</f>
        <v>66154.21415</v>
      </c>
      <c r="E15" s="3">
        <f t="shared" si="1"/>
        <v>0.40299814898488961</v>
      </c>
      <c r="F15" s="9">
        <f>SUM(F2:F13)</f>
        <v>92814.239999999991</v>
      </c>
    </row>
  </sheetData>
  <autoFilter ref="A1:F13" xr:uid="{DA91AD5C-505A-004B-88E1-1706899C02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Kunall</vt:lpstr>
      <vt:lpstr>Milind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Parmar</dc:creator>
  <cp:lastModifiedBy>Milind Parmar</cp:lastModifiedBy>
  <dcterms:created xsi:type="dcterms:W3CDTF">2026-03-16T09:32:39Z</dcterms:created>
  <dcterms:modified xsi:type="dcterms:W3CDTF">2026-03-16T09:49:22Z</dcterms:modified>
</cp:coreProperties>
</file>